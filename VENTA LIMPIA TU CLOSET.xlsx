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02c2dca830dca4/Documents/PROYECTO CON MONICA/"/>
    </mc:Choice>
  </mc:AlternateContent>
  <xr:revisionPtr revIDLastSave="188" documentId="11_F25DC773A252ABDACC1048AAB1DD43425BDE58F1" xr6:coauthVersionLast="47" xr6:coauthVersionMax="47" xr10:uidLastSave="{FF0E35D3-89F5-4E40-AC65-0DAC72F9C425}"/>
  <bookViews>
    <workbookView xWindow="28665" yWindow="-1605" windowWidth="29070" windowHeight="157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O22" i="1"/>
  <c r="S2" i="1"/>
  <c r="L2" i="1"/>
  <c r="I22" i="1"/>
  <c r="C22" i="1"/>
  <c r="J22" i="1"/>
  <c r="H22" i="1"/>
  <c r="P2" i="1" l="1"/>
  <c r="O2" i="1"/>
  <c r="N2" i="1"/>
  <c r="M2" i="1"/>
</calcChain>
</file>

<file path=xl/sharedStrings.xml><?xml version="1.0" encoding="utf-8"?>
<sst xmlns="http://schemas.openxmlformats.org/spreadsheetml/2006/main" count="38" uniqueCount="38">
  <si>
    <t>NOMBRE</t>
  </si>
  <si>
    <t>PRECIO</t>
  </si>
  <si>
    <t>3 botones bonce</t>
  </si>
  <si>
    <t>cambiador para bebe abierto Y CERRADO</t>
  </si>
  <si>
    <t>cruces</t>
  </si>
  <si>
    <t>espejo cobre</t>
  </si>
  <si>
    <t>figuras acero inoxidable redondas</t>
  </si>
  <si>
    <t>figuras acero inoxidable</t>
  </si>
  <si>
    <t>figuras decorativas</t>
  </si>
  <si>
    <t>figuras pequenas</t>
  </si>
  <si>
    <t>flor metal</t>
  </si>
  <si>
    <t>gaviotas juego</t>
  </si>
  <si>
    <t>lampara monica</t>
  </si>
  <si>
    <t>letrero home</t>
  </si>
  <si>
    <t>letrero laundry</t>
  </si>
  <si>
    <t>medallon</t>
  </si>
  <si>
    <t>medallones pequenos</t>
  </si>
  <si>
    <t>placa y googles</t>
  </si>
  <si>
    <t>FECHA DE PUBLICACION</t>
  </si>
  <si>
    <t>DESCUENTO 1</t>
  </si>
  <si>
    <t>DESCUENTO 2</t>
  </si>
  <si>
    <t xml:space="preserve">DESCUENTO 3 </t>
  </si>
  <si>
    <t>FECHA DE VENTA</t>
  </si>
  <si>
    <t>PRECIO DE VENTA</t>
  </si>
  <si>
    <t>COMISION</t>
  </si>
  <si>
    <t>juego mandalas 3 piezas negro</t>
  </si>
  <si>
    <t xml:space="preserve">100 -150 </t>
  </si>
  <si>
    <t>Cuadro Mariposas 80 X 120</t>
  </si>
  <si>
    <t>REPISA</t>
  </si>
  <si>
    <t>PAQUETE PLATA RANCHO</t>
  </si>
  <si>
    <t>AHORRO</t>
  </si>
  <si>
    <t>total</t>
  </si>
  <si>
    <t>sueldo Monica</t>
  </si>
  <si>
    <t>Sueldo Kike</t>
  </si>
  <si>
    <t>Ganancia</t>
  </si>
  <si>
    <t>Gasto</t>
  </si>
  <si>
    <t>Salidas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</si>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</sst>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1" xfId="1" applyFont="1" applyBorder="1"/>
    <xf numFmtId="14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14" fontId="0" fillId="0" borderId="2" xfId="0" applyNumberFormat="1" applyBorder="1"/>
    <xf numFmtId="44" fontId="0" fillId="0" borderId="2" xfId="1" applyFont="1" applyBorder="1"/>
    <xf numFmtId="44" fontId="0" fillId="0" borderId="0" xfId="1" applyFont="1"/>
    <xf numFmtId="44" fontId="0" fillId="0" borderId="5" xfId="1" applyFont="1" applyBorder="1"/>
    <xf numFmtId="44" fontId="0" fillId="0" borderId="0" xfId="0" applyNumberFormat="1"/>
    <xf numFmtId="0" fontId="0" fillId="2" borderId="4" xfId="0" applyFill="1" applyBorder="1"/>
    <xf numFmtId="14" fontId="0" fillId="2" borderId="1" xfId="0" applyNumberFormat="1" applyFill="1" applyBorder="1"/>
    <xf numFmtId="44" fontId="0" fillId="2" borderId="1" xfId="1" applyFont="1" applyFill="1" applyBorder="1"/>
    <xf numFmtId="44" fontId="0" fillId="2" borderId="2" xfId="1" applyFont="1" applyFill="1" applyBorder="1"/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2F013-C7C9-4873-BA51-FB874FE75384}" name="Table1" displayName="Table1" ref="A1:J21" totalsRowShown="0" headerRowDxfId="12" dataDxfId="11" tableBorderDxfId="10" dataCellStyle="Currency">
  <autoFilter ref="A1:J21" xr:uid="{FC82F013-C7C9-4873-BA51-FB874FE75384}"/>
  <tableColumns count="10">
    <tableColumn id="1" xr3:uid="{B07B5AB9-1279-46E8-9DEE-546213F3DEE2}" name="NOMBRE" dataDxfId="9"/>
    <tableColumn id="2" xr3:uid="{939F9481-9CD6-4FA6-A94C-5CBEC61FA4A2}" name="FECHA DE PUBLICACION" dataDxfId="8"/>
    <tableColumn id="3" xr3:uid="{43C1CE85-C0BB-4D81-9904-9007022EB8BA}" name="PRECIO" dataDxfId="7" dataCellStyle="Currency"/>
    <tableColumn id="4" xr3:uid="{4436F643-F567-49A6-81BF-223D7B646E93}" name="DESCUENTO 1" dataDxfId="6" dataCellStyle="Currency"/>
    <tableColumn id="5" xr3:uid="{9042EB15-8319-47F4-894B-C5A67F7419EC}" name="DESCUENTO 2" dataDxfId="5" dataCellStyle="Currency"/>
    <tableColumn id="6" xr3:uid="{ACD212E6-4DB2-46A8-8CB5-0CF691384FBC}" name="DESCUENTO 3 " dataDxfId="4" dataCellStyle="Currency"/>
    <tableColumn id="7" xr3:uid="{9DAC8D39-CF3F-4123-B714-43F9BD3640EE}" name="FECHA DE VENTA" dataDxfId="3"/>
    <tableColumn id="8" xr3:uid="{E2316F7E-D5BF-49CA-80C0-6B72480AEA68}" name="PRECIO DE VENTA" dataDxfId="2" dataCellStyle="Currency"/>
    <tableColumn id="10" xr3:uid="{9C420F7E-FAC2-4934-8C5B-2CD79E2C53B9}" name="AHORRO" dataDxfId="1" dataCellStyle="Currency"/>
    <tableColumn id="9" xr3:uid="{1E608A46-0E68-480C-9818-BCD5EE4F2C1B}" name="COMISION" dataDxfId="0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S12" sqref="S12"/>
    </sheetView>
  </sheetViews>
  <sheetFormatPr defaultRowHeight="14.4" x14ac:dyDescent="0.3"/>
  <cols>
    <col min="1" max="1" width="34.33203125" customWidth="1"/>
    <col min="2" max="2" width="13.77734375" customWidth="1"/>
    <col min="3" max="3" width="11.6640625" customWidth="1"/>
    <col min="4" max="4" width="12.109375" customWidth="1"/>
    <col min="5" max="5" width="12" customWidth="1"/>
    <col min="6" max="6" width="12.109375" customWidth="1"/>
    <col min="7" max="7" width="13.109375" customWidth="1"/>
    <col min="8" max="8" width="12.109375" customWidth="1"/>
    <col min="9" max="9" width="10" customWidth="1"/>
    <col min="10" max="10" width="10.5546875" customWidth="1"/>
    <col min="12" max="12" width="10.21875" bestFit="1" customWidth="1"/>
    <col min="15" max="15" width="10.21875" bestFit="1" customWidth="1"/>
    <col min="17" max="17" width="10.21875" bestFit="1" customWidth="1"/>
    <col min="19" max="19" width="9.44140625" bestFit="1" customWidth="1"/>
    <col min="22" max="22" width="12.88671875" customWidth="1"/>
  </cols>
  <sheetData>
    <row r="1" spans="1:22" ht="28.8" x14ac:dyDescent="0.3">
      <c r="A1" s="5" t="s">
        <v>0</v>
      </c>
      <c r="B1" s="4" t="s">
        <v>18</v>
      </c>
      <c r="C1" s="4" t="s">
        <v>1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30</v>
      </c>
      <c r="J1" s="3" t="s">
        <v>24</v>
      </c>
      <c r="L1" s="17" t="s">
        <v>31</v>
      </c>
      <c r="M1" s="17" t="s">
        <v>32</v>
      </c>
      <c r="N1" s="17" t="s">
        <v>33</v>
      </c>
      <c r="O1" s="17" t="s">
        <v>35</v>
      </c>
      <c r="P1" s="17" t="s">
        <v>34</v>
      </c>
    </row>
    <row r="2" spans="1:22" x14ac:dyDescent="0.3">
      <c r="A2" s="6" t="s">
        <v>2</v>
      </c>
      <c r="B2" s="2"/>
      <c r="C2" s="1">
        <v>300</v>
      </c>
      <c r="D2" s="1"/>
      <c r="E2" s="1"/>
      <c r="F2" s="1"/>
      <c r="G2" s="2"/>
      <c r="H2" s="1"/>
      <c r="I2" s="11"/>
      <c r="J2" s="11"/>
      <c r="L2" s="12">
        <f>H22</f>
        <v>2800</v>
      </c>
      <c r="M2" s="10">
        <f>L2*30%</f>
        <v>840</v>
      </c>
      <c r="N2" s="10">
        <f>L2*30%</f>
        <v>840</v>
      </c>
      <c r="O2" s="10">
        <f>L2*30%</f>
        <v>840</v>
      </c>
      <c r="P2" s="10">
        <f>L2*10%</f>
        <v>280</v>
      </c>
      <c r="S2" s="12">
        <f>500-N2</f>
        <v>-340</v>
      </c>
      <c r="V2" s="12"/>
    </row>
    <row r="3" spans="1:22" x14ac:dyDescent="0.3">
      <c r="A3" s="13" t="s">
        <v>3</v>
      </c>
      <c r="B3" s="14">
        <v>46261</v>
      </c>
      <c r="C3" s="15">
        <v>1000</v>
      </c>
      <c r="D3" s="15">
        <v>900</v>
      </c>
      <c r="E3" s="15"/>
      <c r="F3" s="15"/>
      <c r="G3" s="14">
        <v>46261</v>
      </c>
      <c r="H3" s="15">
        <v>900</v>
      </c>
      <c r="I3" s="15">
        <v>500</v>
      </c>
      <c r="J3" s="15">
        <v>400</v>
      </c>
      <c r="O3">
        <v>-200</v>
      </c>
    </row>
    <row r="4" spans="1:22" x14ac:dyDescent="0.3">
      <c r="A4" s="6" t="s">
        <v>4</v>
      </c>
      <c r="B4" s="2"/>
      <c r="C4" s="1">
        <v>80</v>
      </c>
      <c r="D4" s="1"/>
      <c r="E4" s="1"/>
      <c r="F4" s="1"/>
      <c r="G4" s="2"/>
      <c r="H4" s="1"/>
      <c r="I4" s="1"/>
      <c r="J4" s="1"/>
    </row>
    <row r="5" spans="1:22" x14ac:dyDescent="0.3">
      <c r="A5" s="6" t="s">
        <v>5</v>
      </c>
      <c r="B5" s="2"/>
      <c r="C5" s="1">
        <v>500</v>
      </c>
      <c r="D5" s="1"/>
      <c r="E5" s="1"/>
      <c r="F5" s="1"/>
      <c r="G5" s="2"/>
      <c r="H5" s="1"/>
      <c r="I5" s="1"/>
      <c r="J5" s="1"/>
    </row>
    <row r="6" spans="1:22" x14ac:dyDescent="0.3">
      <c r="A6" s="6" t="s">
        <v>6</v>
      </c>
      <c r="B6" s="2">
        <v>46260</v>
      </c>
      <c r="C6" s="1">
        <v>600</v>
      </c>
      <c r="D6" s="1"/>
      <c r="E6" s="1"/>
      <c r="F6" s="1"/>
      <c r="G6" s="2"/>
      <c r="H6" s="1"/>
      <c r="I6" s="1"/>
      <c r="J6" s="1"/>
    </row>
    <row r="7" spans="1:22" x14ac:dyDescent="0.3">
      <c r="A7" s="6" t="s">
        <v>7</v>
      </c>
      <c r="B7" s="2"/>
      <c r="C7" s="1">
        <v>350</v>
      </c>
      <c r="D7" s="1"/>
      <c r="E7" s="1"/>
      <c r="F7" s="1"/>
      <c r="G7" s="2"/>
      <c r="H7" s="1"/>
      <c r="I7" s="1"/>
      <c r="J7" s="1"/>
    </row>
    <row r="8" spans="1:22" x14ac:dyDescent="0.3">
      <c r="A8" s="6" t="s">
        <v>8</v>
      </c>
      <c r="B8" s="2"/>
      <c r="C8" s="1" t="s">
        <v>26</v>
      </c>
      <c r="D8" s="1"/>
      <c r="E8" s="1"/>
      <c r="F8" s="1"/>
      <c r="G8" s="2"/>
      <c r="H8" s="1"/>
      <c r="I8" s="1"/>
      <c r="J8" s="1"/>
    </row>
    <row r="9" spans="1:22" x14ac:dyDescent="0.3">
      <c r="A9" s="6" t="s">
        <v>9</v>
      </c>
      <c r="B9" s="2"/>
      <c r="C9" s="1">
        <v>150</v>
      </c>
      <c r="D9" s="1"/>
      <c r="E9" s="1"/>
      <c r="F9" s="1"/>
      <c r="G9" s="2"/>
      <c r="H9" s="1"/>
      <c r="I9" s="1"/>
      <c r="J9" s="1"/>
    </row>
    <row r="10" spans="1:22" x14ac:dyDescent="0.3">
      <c r="A10" s="6" t="s">
        <v>10</v>
      </c>
      <c r="B10" s="2"/>
      <c r="C10" s="1">
        <v>600</v>
      </c>
      <c r="D10" s="1"/>
      <c r="E10" s="1"/>
      <c r="F10" s="1"/>
      <c r="G10" s="2"/>
      <c r="H10" s="1"/>
      <c r="I10" s="1"/>
      <c r="J10" s="1"/>
    </row>
    <row r="11" spans="1:22" x14ac:dyDescent="0.3">
      <c r="A11" s="6" t="s">
        <v>11</v>
      </c>
      <c r="B11" s="2"/>
      <c r="C11" s="1">
        <v>250</v>
      </c>
      <c r="D11" s="1"/>
      <c r="E11" s="1"/>
      <c r="F11" s="1"/>
      <c r="G11" s="2"/>
      <c r="H11" s="1"/>
      <c r="I11" s="1"/>
      <c r="J11" s="1"/>
      <c r="S11">
        <f>840-500+200</f>
        <v>540</v>
      </c>
    </row>
    <row r="12" spans="1:22" x14ac:dyDescent="0.3">
      <c r="A12" s="6" t="s">
        <v>25</v>
      </c>
      <c r="B12" s="2"/>
      <c r="C12" s="1">
        <v>350</v>
      </c>
      <c r="D12" s="1"/>
      <c r="E12" s="1"/>
      <c r="F12" s="1"/>
      <c r="G12" s="2"/>
      <c r="H12" s="1"/>
      <c r="I12" s="1"/>
      <c r="J12" s="1"/>
    </row>
    <row r="13" spans="1:22" x14ac:dyDescent="0.3">
      <c r="A13" s="6" t="s">
        <v>12</v>
      </c>
      <c r="B13" s="2"/>
      <c r="C13" s="1">
        <v>350</v>
      </c>
      <c r="D13" s="1"/>
      <c r="E13" s="1"/>
      <c r="F13" s="1"/>
      <c r="G13" s="2"/>
      <c r="H13" s="1"/>
      <c r="I13" s="1"/>
      <c r="J13" s="1"/>
    </row>
    <row r="14" spans="1:22" x14ac:dyDescent="0.3">
      <c r="A14" s="6" t="s">
        <v>13</v>
      </c>
      <c r="B14" s="2"/>
      <c r="C14" s="1">
        <v>200</v>
      </c>
      <c r="D14" s="1"/>
      <c r="E14" s="1"/>
      <c r="F14" s="1"/>
      <c r="G14" s="2"/>
      <c r="H14" s="1"/>
      <c r="I14" s="1"/>
      <c r="J14" s="1"/>
    </row>
    <row r="15" spans="1:22" x14ac:dyDescent="0.3">
      <c r="A15" s="6" t="s">
        <v>14</v>
      </c>
      <c r="B15" s="2"/>
      <c r="C15" s="1">
        <v>250</v>
      </c>
      <c r="D15" s="1"/>
      <c r="E15" s="1"/>
      <c r="F15" s="1"/>
      <c r="G15" s="2"/>
      <c r="H15" s="1"/>
      <c r="I15" s="1"/>
      <c r="J15" s="1"/>
    </row>
    <row r="16" spans="1:22" x14ac:dyDescent="0.3">
      <c r="A16" s="6" t="s">
        <v>15</v>
      </c>
      <c r="B16" s="2"/>
      <c r="C16" s="1">
        <v>1000</v>
      </c>
      <c r="D16" s="1"/>
      <c r="E16" s="1"/>
      <c r="F16" s="1"/>
      <c r="G16" s="2"/>
      <c r="H16" s="1"/>
      <c r="I16" s="1"/>
      <c r="J16" s="1"/>
    </row>
    <row r="17" spans="1:15" x14ac:dyDescent="0.3">
      <c r="A17" s="6" t="s">
        <v>16</v>
      </c>
      <c r="B17" s="2"/>
      <c r="C17" s="1">
        <v>200</v>
      </c>
      <c r="D17" s="1"/>
      <c r="E17" s="1"/>
      <c r="F17" s="1"/>
      <c r="G17" s="2"/>
      <c r="H17" s="1"/>
      <c r="I17" s="1"/>
      <c r="J17" s="1"/>
    </row>
    <row r="18" spans="1:15" x14ac:dyDescent="0.3">
      <c r="A18" s="7" t="s">
        <v>17</v>
      </c>
      <c r="B18" s="8"/>
      <c r="C18" s="9">
        <v>100</v>
      </c>
      <c r="D18" s="9"/>
      <c r="E18" s="9"/>
      <c r="F18" s="9"/>
      <c r="G18" s="8"/>
      <c r="H18" s="9"/>
      <c r="I18" s="9"/>
      <c r="J18" s="9"/>
    </row>
    <row r="19" spans="1:15" x14ac:dyDescent="0.3">
      <c r="A19" s="13" t="s">
        <v>27</v>
      </c>
      <c r="B19" s="14"/>
      <c r="C19" s="15">
        <v>500</v>
      </c>
      <c r="D19" s="15"/>
      <c r="E19" s="15"/>
      <c r="F19" s="15"/>
      <c r="G19" s="14"/>
      <c r="H19" s="15">
        <v>500</v>
      </c>
      <c r="I19" s="15">
        <v>500</v>
      </c>
      <c r="J19" s="15"/>
    </row>
    <row r="20" spans="1:15" x14ac:dyDescent="0.3">
      <c r="A20" s="13" t="s">
        <v>28</v>
      </c>
      <c r="B20" s="14"/>
      <c r="C20" s="15">
        <v>200</v>
      </c>
      <c r="D20" s="15"/>
      <c r="E20" s="15"/>
      <c r="F20" s="15"/>
      <c r="G20" s="14"/>
      <c r="H20" s="15">
        <v>200</v>
      </c>
      <c r="I20" s="15">
        <v>200</v>
      </c>
      <c r="J20" s="15"/>
    </row>
    <row r="21" spans="1:15" x14ac:dyDescent="0.3">
      <c r="A21" s="13" t="s">
        <v>29</v>
      </c>
      <c r="B21" s="14"/>
      <c r="C21" s="15">
        <v>1200</v>
      </c>
      <c r="D21" s="15"/>
      <c r="E21" s="15"/>
      <c r="F21" s="15"/>
      <c r="G21" s="14"/>
      <c r="H21" s="15">
        <v>1200</v>
      </c>
      <c r="I21" s="15">
        <v>1200</v>
      </c>
      <c r="J21" s="16"/>
    </row>
    <row r="22" spans="1:15" x14ac:dyDescent="0.3">
      <c r="C22" s="12">
        <f>SUM(C2:C21)</f>
        <v>8180</v>
      </c>
      <c r="H22" s="10">
        <f>SUBTOTAL(109,Table1[PRECIO DE VENTA])</f>
        <v>2800</v>
      </c>
      <c r="I22" s="10">
        <f>SUBTOTAL(109,Table1[AHORRO])</f>
        <v>2400</v>
      </c>
      <c r="J22" s="10">
        <f>SUBTOTAL(109,Table1[COMISION])</f>
        <v>400</v>
      </c>
      <c r="O22" s="12">
        <f>SUM(O2:O21)</f>
        <v>640</v>
      </c>
    </row>
    <row r="23" spans="1:15" x14ac:dyDescent="0.3">
      <c r="A23" t="s">
        <v>36</v>
      </c>
    </row>
    <row r="24" spans="1:15" x14ac:dyDescent="0.3">
      <c r="A24" t="s">
        <v>37</v>
      </c>
      <c r="B24" s="10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Valenzuela</dc:creator>
  <cp:keywords/>
  <dc:description/>
  <cp:lastModifiedBy>Enrique Valenzuela</cp:lastModifiedBy>
  <cp:revision/>
  <dcterms:created xsi:type="dcterms:W3CDTF">2015-06-05T18:17:20Z</dcterms:created>
  <dcterms:modified xsi:type="dcterms:W3CDTF">2026-09-05T21:58:32Z</dcterms:modified>
  <cp:category/>
  <cp:contentStatus/>
</cp:coreProperties>
</file>